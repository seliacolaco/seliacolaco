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ek9\Documents\"/>
    </mc:Choice>
  </mc:AlternateContent>
  <bookViews>
    <workbookView xWindow="0" yWindow="0" windowWidth="20490" windowHeight="7620"/>
  </bookViews>
  <sheets>
    <sheet name="Sheet1" sheetId="1" r:id="rId1"/>
  </sheets>
  <definedNames>
    <definedName name="selia">Sheet1!$F$2:$F$10</definedName>
    <definedName name="Sell">Sheet1!$F$2:$F$14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F18" i="1"/>
  <c r="D18" i="1"/>
  <c r="E17" i="1"/>
  <c r="F17" i="1"/>
  <c r="D17" i="1"/>
  <c r="E16" i="1"/>
  <c r="F16" i="1"/>
  <c r="D16" i="1"/>
  <c r="F1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E15" i="1"/>
  <c r="D15" i="1"/>
  <c r="E14" i="1"/>
  <c r="E13" i="1"/>
  <c r="E11" i="1"/>
  <c r="D14" i="1"/>
  <c r="E12" i="1"/>
  <c r="E9" i="1"/>
  <c r="E4" i="1"/>
  <c r="E5" i="1"/>
  <c r="E6" i="1"/>
  <c r="E7" i="1"/>
  <c r="E8" i="1"/>
  <c r="E10" i="1"/>
  <c r="E3" i="1"/>
  <c r="E2" i="1"/>
</calcChain>
</file>

<file path=xl/sharedStrings.xml><?xml version="1.0" encoding="utf-8"?>
<sst xmlns="http://schemas.openxmlformats.org/spreadsheetml/2006/main" count="15" uniqueCount="15">
  <si>
    <t>Tafxil</t>
  </si>
  <si>
    <t>tafzil</t>
  </si>
  <si>
    <t>tafzeel</t>
  </si>
  <si>
    <t>Employee Id</t>
  </si>
  <si>
    <t>Name</t>
  </si>
  <si>
    <t>Hourly wages</t>
  </si>
  <si>
    <t>hours worked</t>
  </si>
  <si>
    <t>taxable income</t>
  </si>
  <si>
    <t>taxes to be paid</t>
  </si>
  <si>
    <t>tax rate: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</si>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</sst>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6" fontId="0" fillId="0" borderId="0" xfId="0" applyNumberFormat="1"/>
    <xf numFmtId="4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K13" sqref="K13"/>
    </sheetView>
  </sheetViews>
  <sheetFormatPr defaultRowHeight="15" x14ac:dyDescent="0.25"/>
  <cols>
    <col min="1" max="1" width="12" bestFit="1" customWidth="1"/>
    <col min="2" max="2" width="7.140625" bestFit="1" customWidth="1"/>
    <col min="3" max="3" width="12.85546875" customWidth="1"/>
    <col min="4" max="4" width="13.28515625" bestFit="1" customWidth="1"/>
    <col min="5" max="5" width="14.7109375" bestFit="1" customWidth="1"/>
    <col min="6" max="6" width="15.140625" bestFit="1" customWidth="1"/>
  </cols>
  <sheetData>
    <row r="1" spans="1:9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>
        <v>7.0000000000000007E-2</v>
      </c>
      <c r="I1" s="1"/>
    </row>
    <row r="2" spans="1:9" x14ac:dyDescent="0.25">
      <c r="A2">
        <v>1</v>
      </c>
      <c r="B2" t="s">
        <v>0</v>
      </c>
      <c r="C2" s="3">
        <v>10.199999999999999</v>
      </c>
      <c r="D2">
        <v>160</v>
      </c>
      <c r="E2">
        <f>C2*D2</f>
        <v>1632</v>
      </c>
      <c r="F2" s="4">
        <f>E2*$H$1</f>
        <v>114.24000000000001</v>
      </c>
    </row>
    <row r="3" spans="1:9" x14ac:dyDescent="0.25">
      <c r="A3">
        <v>2</v>
      </c>
      <c r="B3" t="s">
        <v>1</v>
      </c>
      <c r="C3" s="3">
        <v>16</v>
      </c>
      <c r="D3">
        <v>180</v>
      </c>
      <c r="E3">
        <f>C3*D3</f>
        <v>2880</v>
      </c>
      <c r="F3" s="4">
        <f t="shared" ref="F3:F12" si="0">E3*$H$1</f>
        <v>201.60000000000002</v>
      </c>
    </row>
    <row r="4" spans="1:9" x14ac:dyDescent="0.25">
      <c r="A4">
        <v>3</v>
      </c>
      <c r="B4" t="s">
        <v>2</v>
      </c>
      <c r="C4" s="3">
        <v>15.5</v>
      </c>
      <c r="D4">
        <v>200</v>
      </c>
      <c r="E4">
        <f t="shared" ref="E4:E13" si="1">C4*D4</f>
        <v>3100</v>
      </c>
      <c r="F4" s="4">
        <f>E4*$H$1</f>
        <v>217.00000000000003</v>
      </c>
    </row>
    <row r="5" spans="1:9" x14ac:dyDescent="0.25">
      <c r="A5">
        <v>4</v>
      </c>
      <c r="C5" s="3">
        <v>15.5</v>
      </c>
      <c r="D5">
        <v>360</v>
      </c>
      <c r="E5">
        <f t="shared" si="1"/>
        <v>5580</v>
      </c>
      <c r="F5" s="4">
        <f t="shared" si="0"/>
        <v>390.6</v>
      </c>
    </row>
    <row r="6" spans="1:9" x14ac:dyDescent="0.25">
      <c r="A6">
        <v>5</v>
      </c>
      <c r="C6" s="3">
        <v>15.5</v>
      </c>
      <c r="D6">
        <v>150</v>
      </c>
      <c r="E6">
        <f t="shared" si="1"/>
        <v>2325</v>
      </c>
      <c r="F6" s="4">
        <f t="shared" si="0"/>
        <v>162.75000000000003</v>
      </c>
    </row>
    <row r="7" spans="1:9" x14ac:dyDescent="0.25">
      <c r="A7">
        <v>6</v>
      </c>
      <c r="C7" s="3">
        <v>15.5</v>
      </c>
      <c r="D7">
        <v>140</v>
      </c>
      <c r="E7">
        <f t="shared" si="1"/>
        <v>2170</v>
      </c>
      <c r="F7" s="4">
        <f t="shared" si="0"/>
        <v>151.9</v>
      </c>
    </row>
    <row r="8" spans="1:9" x14ac:dyDescent="0.25">
      <c r="A8">
        <v>7</v>
      </c>
      <c r="C8" s="3">
        <v>15.5</v>
      </c>
      <c r="D8">
        <v>160</v>
      </c>
      <c r="E8">
        <f t="shared" si="1"/>
        <v>2480</v>
      </c>
      <c r="F8" s="4">
        <f t="shared" si="0"/>
        <v>173.60000000000002</v>
      </c>
    </row>
    <row r="9" spans="1:9" x14ac:dyDescent="0.25">
      <c r="A9">
        <v>8</v>
      </c>
      <c r="C9" s="3">
        <v>15.5</v>
      </c>
      <c r="D9">
        <v>130</v>
      </c>
      <c r="E9">
        <f>C9*D9</f>
        <v>2015</v>
      </c>
      <c r="F9" s="4">
        <f>E9*$H$1</f>
        <v>141.05000000000001</v>
      </c>
    </row>
    <row r="10" spans="1:9" x14ac:dyDescent="0.25">
      <c r="A10">
        <v>9</v>
      </c>
      <c r="C10" s="3">
        <v>15.5</v>
      </c>
      <c r="D10">
        <v>120</v>
      </c>
      <c r="E10">
        <f t="shared" si="1"/>
        <v>1860</v>
      </c>
      <c r="F10" s="4">
        <f t="shared" si="0"/>
        <v>130.20000000000002</v>
      </c>
    </row>
    <row r="11" spans="1:9" x14ac:dyDescent="0.25">
      <c r="A11">
        <v>10</v>
      </c>
      <c r="C11" s="3">
        <v>15.5</v>
      </c>
      <c r="D11">
        <v>110</v>
      </c>
      <c r="E11">
        <f t="shared" si="1"/>
        <v>1705</v>
      </c>
      <c r="F11" s="4">
        <f>E11*$H$1</f>
        <v>119.35000000000001</v>
      </c>
    </row>
    <row r="12" spans="1:9" x14ac:dyDescent="0.25">
      <c r="A12">
        <v>11</v>
      </c>
      <c r="C12" s="3">
        <v>15.5</v>
      </c>
      <c r="D12">
        <v>100</v>
      </c>
      <c r="E12">
        <f t="shared" si="1"/>
        <v>1550</v>
      </c>
      <c r="F12" s="4">
        <f t="shared" si="0"/>
        <v>108.50000000000001</v>
      </c>
    </row>
    <row r="13" spans="1:9" x14ac:dyDescent="0.25">
      <c r="A13">
        <v>12</v>
      </c>
      <c r="C13" s="3">
        <v>13.5</v>
      </c>
      <c r="D13">
        <v>130</v>
      </c>
      <c r="E13">
        <f>C13*D13</f>
        <v>1755</v>
      </c>
      <c r="F13" s="4">
        <f>E13*$H$1</f>
        <v>122.85000000000001</v>
      </c>
    </row>
    <row r="14" spans="1:9" x14ac:dyDescent="0.25">
      <c r="C14" s="2" t="s">
        <v>10</v>
      </c>
      <c r="D14">
        <f>SUM(D2:D13)</f>
        <v>1940</v>
      </c>
      <c r="E14">
        <f>SUM(E2:E13)</f>
        <v>29052</v>
      </c>
      <c r="F14">
        <f>SUM(selia)</f>
        <v>1682.94</v>
      </c>
    </row>
    <row r="15" spans="1:9" x14ac:dyDescent="0.25">
      <c r="C15" s="2" t="s">
        <v>11</v>
      </c>
      <c r="D15">
        <f>AVERAGE(D2:D14)</f>
        <v>298.46153846153845</v>
      </c>
      <c r="E15">
        <f>AVERAGE(E2:E14)</f>
        <v>4469.5384615384619</v>
      </c>
      <c r="F15">
        <f>AVERAGE(Sell)</f>
        <v>285.89076923076925</v>
      </c>
    </row>
    <row r="16" spans="1:9" x14ac:dyDescent="0.25">
      <c r="C16" s="2" t="s">
        <v>12</v>
      </c>
      <c r="D16">
        <f>MAX(D2:D13)</f>
        <v>360</v>
      </c>
      <c r="E16">
        <f t="shared" ref="E16:F16" si="2">MAX(E2:E13)</f>
        <v>5580</v>
      </c>
      <c r="F16">
        <f t="shared" si="2"/>
        <v>390.6</v>
      </c>
    </row>
    <row r="17" spans="3:6" x14ac:dyDescent="0.25">
      <c r="C17" s="2" t="s">
        <v>13</v>
      </c>
      <c r="D17">
        <f>MIN(D2:D13)</f>
        <v>100</v>
      </c>
      <c r="E17">
        <f t="shared" ref="E17:F17" si="3">MIN(E2:E13)</f>
        <v>1550</v>
      </c>
      <c r="F17">
        <f t="shared" si="3"/>
        <v>108.50000000000001</v>
      </c>
    </row>
    <row r="18" spans="3:6" x14ac:dyDescent="0.25">
      <c r="C18" s="2" t="s">
        <v>14</v>
      </c>
      <c r="D18">
        <f>COUNT(D2:D13)</f>
        <v>12</v>
      </c>
      <c r="E18">
        <f t="shared" ref="E18:F18" si="4">COUNT(E2:E13)</f>
        <v>12</v>
      </c>
      <c r="F18">
        <f t="shared" si="4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selia</vt:lpstr>
      <vt:lpstr>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Khan</dc:creator>
  <cp:lastModifiedBy>Zeeshan Khan</cp:lastModifiedBy>
  <dcterms:created xsi:type="dcterms:W3CDTF">2025-01-14T11:54:05Z</dcterms:created>
  <dcterms:modified xsi:type="dcterms:W3CDTF">2025-01-14T15:37:06Z</dcterms:modified>
</cp:coreProperties>
</file>